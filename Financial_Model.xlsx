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cu Popovici\Desktop\"/>
    </mc:Choice>
  </mc:AlternateContent>
  <xr:revisionPtr revIDLastSave="0" documentId="13_ncr:1_{6E6550C6-C30C-4288-B359-9CD10C19C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_MODEL" sheetId="1" r:id="rId1"/>
    <sheet name="Valuation_Summar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 s="1"/>
  <c r="E3" i="2"/>
  <c r="I25" i="1"/>
  <c r="J25" i="1"/>
  <c r="H25" i="1"/>
  <c r="Q20" i="1"/>
  <c r="P20" i="1"/>
  <c r="I19" i="1"/>
  <c r="J19" i="1"/>
  <c r="H19" i="1"/>
  <c r="N9" i="1"/>
  <c r="N5" i="1"/>
  <c r="I6" i="1"/>
  <c r="J6" i="1"/>
  <c r="K6" i="1"/>
  <c r="H6" i="1"/>
  <c r="B12" i="1"/>
  <c r="B8" i="1"/>
  <c r="B9" i="1" s="1"/>
  <c r="C6" i="1"/>
  <c r="B10" i="1" l="1"/>
  <c r="B13" i="1"/>
  <c r="H7" i="1" s="1"/>
  <c r="O9" i="1"/>
  <c r="O10" i="1" s="1"/>
  <c r="B22" i="1" s="1"/>
  <c r="C12" i="1"/>
  <c r="B20" i="1" s="1"/>
  <c r="C8" i="1"/>
  <c r="C9" i="1" s="1"/>
  <c r="O5" i="1"/>
  <c r="B21" i="1" s="1"/>
  <c r="D6" i="1"/>
  <c r="H9" i="1" l="1"/>
  <c r="H10" i="1" s="1"/>
  <c r="C10" i="1"/>
  <c r="C13" i="1"/>
  <c r="B19" i="1" s="1"/>
  <c r="B23" i="1" s="1"/>
  <c r="E6" i="1"/>
  <c r="D8" i="1"/>
  <c r="D9" i="1" s="1"/>
  <c r="D12" i="1"/>
  <c r="C20" i="1" s="1"/>
  <c r="P5" i="1"/>
  <c r="C21" i="1" s="1"/>
  <c r="P9" i="1"/>
  <c r="P10" i="1" s="1"/>
  <c r="C22" i="1" s="1"/>
  <c r="H18" i="1" l="1"/>
  <c r="H26" i="1" s="1"/>
  <c r="H20" i="1"/>
  <c r="I7" i="1"/>
  <c r="I9" i="1" s="1"/>
  <c r="I10" i="1" s="1"/>
  <c r="I13" i="1" s="1"/>
  <c r="I14" i="1" s="1"/>
  <c r="B17" i="1"/>
  <c r="E8" i="1"/>
  <c r="E9" i="1"/>
  <c r="E12" i="1"/>
  <c r="D20" i="1" s="1"/>
  <c r="Q5" i="1"/>
  <c r="D21" i="1" s="1"/>
  <c r="Q9" i="1"/>
  <c r="Q10" i="1" s="1"/>
  <c r="D22" i="1" s="1"/>
  <c r="D10" i="1"/>
  <c r="D13" i="1"/>
  <c r="C19" i="1" s="1"/>
  <c r="C23" i="1" s="1"/>
  <c r="I18" i="1" l="1"/>
  <c r="I26" i="1" s="1"/>
  <c r="I20" i="1"/>
  <c r="J7" i="1"/>
  <c r="C17" i="1"/>
  <c r="E13" i="1"/>
  <c r="D19" i="1" s="1"/>
  <c r="D23" i="1" s="1"/>
  <c r="M22" i="1" s="1"/>
  <c r="M23" i="1" s="1"/>
  <c r="E10" i="1"/>
  <c r="J9" i="1"/>
  <c r="J10" i="1" s="1"/>
  <c r="J13" i="1" s="1"/>
  <c r="J14" i="1" s="1"/>
  <c r="J18" i="1" l="1"/>
  <c r="J26" i="1" s="1"/>
  <c r="J21" i="1"/>
  <c r="J22" i="1" s="1"/>
  <c r="J20" i="1"/>
  <c r="K7" i="1"/>
  <c r="K9" i="1" s="1"/>
  <c r="K10" i="1" s="1"/>
  <c r="K13" i="1" s="1"/>
  <c r="K14" i="1" s="1"/>
  <c r="D17" i="1"/>
  <c r="M24" i="1" l="1"/>
  <c r="D3" i="2"/>
  <c r="J23" i="1"/>
  <c r="J24" i="1" l="1"/>
  <c r="D2" i="2"/>
  <c r="E2" i="2" l="1"/>
  <c r="H27" i="1"/>
  <c r="I3" i="2" l="1"/>
  <c r="I2" i="2"/>
</calcChain>
</file>

<file path=xl/sharedStrings.xml><?xml version="1.0" encoding="utf-8"?>
<sst xmlns="http://schemas.openxmlformats.org/spreadsheetml/2006/main" count="117" uniqueCount="97">
  <si>
    <t>Celulă A</t>
  </si>
  <si>
    <t>B (2025)</t>
  </si>
  <si>
    <t>C (2026)</t>
  </si>
  <si>
    <t>D (2027)</t>
  </si>
  <si>
    <t>E (2028)</t>
  </si>
  <si>
    <t>3. Indicator</t>
  </si>
  <si>
    <t>4. Creștere venituri</t>
  </si>
  <si>
    <t>—</t>
  </si>
  <si>
    <t>5. Venituri (mil. lei)</t>
  </si>
  <si>
    <t>6. Costuri / venituri</t>
  </si>
  <si>
    <t>7. Costuri operaționale</t>
  </si>
  <si>
    <t>8. EBITDA</t>
  </si>
  <si>
    <t>9. Marja EBITDA</t>
  </si>
  <si>
    <t>Amortizarea</t>
  </si>
  <si>
    <t>EBIT</t>
  </si>
  <si>
    <t>Amortizare/venituri</t>
  </si>
  <si>
    <t>Indicator</t>
  </si>
  <si>
    <t>Datorie financiară (mil. lei)</t>
  </si>
  <si>
    <t>Rata dobânzii</t>
  </si>
  <si>
    <t>Cheltuieli cu dobânzile</t>
  </si>
  <si>
    <t>Profit înainte de impozitare</t>
  </si>
  <si>
    <t>Cotă impozit pe profit</t>
  </si>
  <si>
    <t>Cheltuială cu impozitul</t>
  </si>
  <si>
    <t>Profit net</t>
  </si>
  <si>
    <t>CAPEX / Venituri</t>
  </si>
  <si>
    <t>CAPEX (mil. lei)</t>
  </si>
  <si>
    <t>Creanțe / Venituri</t>
  </si>
  <si>
    <t>Creanțe comerciale</t>
  </si>
  <si>
    <t>Creșterea creanțelor</t>
  </si>
  <si>
    <t>Cash Flow Operațional</t>
  </si>
  <si>
    <t>Free Cash Flow simplificat</t>
  </si>
  <si>
    <t>Impozit</t>
  </si>
  <si>
    <t>NOPAT</t>
  </si>
  <si>
    <t>+ Amortizare</t>
  </si>
  <si>
    <t>− CAPEX</t>
  </si>
  <si>
    <t>− Creșterea creanțelor</t>
  </si>
  <si>
    <t>FCFF</t>
  </si>
  <si>
    <t>Anul proiecției</t>
  </si>
  <si>
    <t>Ipoteză</t>
  </si>
  <si>
    <t>Valoare</t>
  </si>
  <si>
    <t>WACC</t>
  </si>
  <si>
    <t>g</t>
  </si>
  <si>
    <t>TV2028</t>
  </si>
  <si>
    <t>Numerar (bilant)</t>
  </si>
  <si>
    <t>Scenariul 1</t>
  </si>
  <si>
    <t>Scenariul 2</t>
  </si>
  <si>
    <t>Equity Value (mil. lei)</t>
  </si>
  <si>
    <t>Preț cerut (mil. lei)</t>
  </si>
  <si>
    <t>Diferență valoare − preț</t>
  </si>
  <si>
    <t>Scenario</t>
  </si>
  <si>
    <t>Enterprise Value</t>
  </si>
  <si>
    <t>Equity Value</t>
  </si>
  <si>
    <t>Asking Price</t>
  </si>
  <si>
    <t>base case</t>
  </si>
  <si>
    <t>higher risk</t>
  </si>
  <si>
    <t>EQUITI VALUE 10%</t>
  </si>
  <si>
    <t>Factor de actualizare 10%</t>
  </si>
  <si>
    <t>Factor de actualizare 12%</t>
  </si>
  <si>
    <t>Valoarea actualizată FCFF 10%</t>
  </si>
  <si>
    <t>Valoarea actualizată FCFF 12%</t>
  </si>
  <si>
    <t>EV 12%</t>
  </si>
  <si>
    <t>EV 10%</t>
  </si>
  <si>
    <t>TV12%</t>
  </si>
  <si>
    <t>PV(TV 2028 12%</t>
  </si>
  <si>
    <t>PV(TV2028 10%</t>
  </si>
  <si>
    <t>Variatie(%)  Equiti Value 12%/10%</t>
  </si>
  <si>
    <t>Variatie Equiti Value 12%-10%</t>
  </si>
  <si>
    <t>higher growth</t>
  </si>
  <si>
    <t xml:space="preserve">
EV=Equity Value+Datorii-Numerar</t>
  </si>
  <si>
    <t>Formula</t>
  </si>
  <si>
    <t>Explicație</t>
  </si>
  <si>
    <t>Profit operațional după impozit</t>
  </si>
  <si>
    <t>Fluxul de numerar disponibil</t>
  </si>
  <si>
    <t>Present Value</t>
  </si>
  <si>
    <t>Actualizarea fluxurilor</t>
  </si>
  <si>
    <t>Terminal Value</t>
  </si>
  <si>
    <t>Valoarea după perioada de prognoză</t>
  </si>
  <si>
    <t>Valoarea operațiunilor companiei</t>
  </si>
  <si>
    <t>Valoarea capitalurilor proprii</t>
  </si>
  <si>
    <t>Price Gap</t>
  </si>
  <si>
    <t>Diferența față de preț</t>
  </si>
  <si>
    <t>Price Gap %</t>
  </si>
  <si>
    <t>Diferența procentuală</t>
  </si>
  <si>
    <t>Equity Value Change</t>
  </si>
  <si>
    <t>Modificarea între scenarii</t>
  </si>
  <si>
    <t>Equity Value Change %</t>
  </si>
  <si>
    <t>Modificarea procentuală</t>
  </si>
  <si>
    <t>NOPAT+Depreciation-CAPEX-Change in Receivables</t>
  </si>
  <si>
    <t>FCFF/(1+WACC)^YEAR</t>
  </si>
  <si>
    <t>FCFF_LastYear*(1+g)/(WACC-g)</t>
  </si>
  <si>
    <t>SUM(PV_FCFF)+PV_TerminalValue</t>
  </si>
  <si>
    <t>EV-Debt+Cash</t>
  </si>
  <si>
    <t>EquityValue-AskingPrice</t>
  </si>
  <si>
    <t>PriceGap/AskingPrice</t>
  </si>
  <si>
    <t>NewEquityValue-BaseEquityValue</t>
  </si>
  <si>
    <t>(NewEquityValue-BaseEquityValue)/BaseEquityValue</t>
  </si>
  <si>
    <t>EBIT*(1-Tax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</si>
</sst>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u/>
      <sz val="11"/>
      <color rgb="FF92D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9" fontId="0" fillId="0" borderId="1" xfId="1" applyFont="1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0" fontId="0" fillId="0" borderId="1" xfId="1" applyNumberFormat="1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vertical="center" wrapText="1"/>
    </xf>
    <xf numFmtId="9" fontId="0" fillId="0" borderId="0" xfId="0" applyNumberFormat="1"/>
    <xf numFmtId="9" fontId="3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9" fontId="0" fillId="0" borderId="1" xfId="0" applyNumberFormat="1" applyBorder="1"/>
    <xf numFmtId="0" fontId="8" fillId="0" borderId="3" xfId="0" applyFont="1" applyBorder="1"/>
    <xf numFmtId="9" fontId="3" fillId="0" borderId="3" xfId="0" applyNumberFormat="1" applyFont="1" applyBorder="1"/>
    <xf numFmtId="0" fontId="0" fillId="0" borderId="1" xfId="0" applyFill="1" applyBorder="1" applyAlignment="1">
      <alignment vertical="center" wrapText="1"/>
    </xf>
    <xf numFmtId="0" fontId="8" fillId="0" borderId="0" xfId="0" applyFont="1"/>
    <xf numFmtId="10" fontId="8" fillId="0" borderId="0" xfId="1" applyNumberFormat="1" applyFont="1"/>
    <xf numFmtId="0" fontId="0" fillId="0" borderId="0" xfId="0" applyAlignment="1">
      <alignment wrapText="1"/>
    </xf>
    <xf numFmtId="0" fontId="9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5D77D-FBCD-48FD-BDE8-AF89B9659A83}" name="Valuation_Summary" displayName="Valuation_Summary" ref="A1:F4" totalsRowShown="0" headerRowDxfId="0">
  <autoFilter ref="A1:F4" xr:uid="{E075D77D-FBCD-48FD-BDE8-AF89B9659A83}"/>
  <tableColumns count="6">
    <tableColumn id="1" xr3:uid="{E00A89B5-753D-4BE3-8C80-D6D53B1B6852}" name="Scenario"/>
    <tableColumn id="2" xr3:uid="{784CDFC7-A94C-431D-950E-8AADB44BB0E9}" name="WACC" dataDxfId="2"/>
    <tableColumn id="3" xr3:uid="{B4D2F6B2-8543-4EC2-847D-59FB4C6A7E5F}" name="g" dataDxfId="1"/>
    <tableColumn id="4" xr3:uid="{2A256A2E-49A7-4CC7-BDFD-0D711CAA5CBC}" name="Enterprise Value">
      <calculatedColumnFormula>SUM(DCF_MODEL!H25:J25)+DCF_MODEL!M22</calculatedColumnFormula>
    </tableColumn>
    <tableColumn id="5" xr3:uid="{04A3F54A-EE8F-41EE-A2C5-9E0ADC20F6AA}" name="Equity Value">
      <calculatedColumnFormula>DCF_MODEL!J30</calculatedColumnFormula>
    </tableColumn>
    <tableColumn id="6" xr3:uid="{A7626FC6-1620-4745-93FF-54EC0DA00CF7}" name="Asking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1"/>
  <sheetViews>
    <sheetView tabSelected="1" topLeftCell="A20" workbookViewId="0">
      <selection activeCell="E28" sqref="E28"/>
    </sheetView>
  </sheetViews>
  <sheetFormatPr defaultRowHeight="15"/>
  <cols>
    <col min="1" max="1" width="19.140625" customWidth="1"/>
    <col min="2" max="3" width="9.140625" customWidth="1"/>
    <col min="7" max="7" width="23.7109375" customWidth="1"/>
    <col min="8" max="8" width="12" bestFit="1" customWidth="1"/>
    <col min="11" max="11" width="15.7109375" customWidth="1"/>
    <col min="12" max="12" width="14.42578125" bestFit="1" customWidth="1"/>
    <col min="13" max="13" width="12" bestFit="1" customWidth="1"/>
  </cols>
  <sheetData>
    <row r="3" spans="1:1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G3" s="1" t="s">
        <v>16</v>
      </c>
      <c r="H3" s="1">
        <v>2025</v>
      </c>
      <c r="I3" s="1">
        <v>2026</v>
      </c>
      <c r="J3" s="1">
        <v>2027</v>
      </c>
      <c r="K3" s="1">
        <v>2028</v>
      </c>
      <c r="M3" s="1" t="s">
        <v>16</v>
      </c>
      <c r="N3" s="1">
        <v>2025</v>
      </c>
      <c r="O3" s="1">
        <v>2026</v>
      </c>
      <c r="P3" s="1">
        <v>2027</v>
      </c>
      <c r="Q3" s="1">
        <v>2028</v>
      </c>
    </row>
    <row r="4" spans="1:17" ht="30">
      <c r="A4" s="2" t="s">
        <v>5</v>
      </c>
      <c r="B4" s="2">
        <v>2025</v>
      </c>
      <c r="C4" s="2">
        <v>2026</v>
      </c>
      <c r="D4" s="2">
        <v>2027</v>
      </c>
      <c r="E4" s="2">
        <v>2028</v>
      </c>
      <c r="G4" s="2" t="s">
        <v>17</v>
      </c>
      <c r="H4" s="2">
        <v>40</v>
      </c>
      <c r="I4" s="2">
        <v>40</v>
      </c>
      <c r="J4" s="2">
        <v>40</v>
      </c>
      <c r="K4" s="2">
        <v>40</v>
      </c>
      <c r="M4" s="2" t="s">
        <v>24</v>
      </c>
      <c r="N4" s="3">
        <v>0.1</v>
      </c>
      <c r="O4" s="3">
        <v>0.1</v>
      </c>
      <c r="P4" s="3">
        <v>0.1</v>
      </c>
      <c r="Q4" s="3">
        <v>0.1</v>
      </c>
    </row>
    <row r="5" spans="1:17" ht="30">
      <c r="A5" s="2" t="s">
        <v>6</v>
      </c>
      <c r="B5" s="2" t="s">
        <v>7</v>
      </c>
      <c r="C5" s="3">
        <v>0.1</v>
      </c>
      <c r="D5" s="3">
        <v>0.08</v>
      </c>
      <c r="E5" s="3">
        <v>0.06</v>
      </c>
      <c r="G5" s="2" t="s">
        <v>18</v>
      </c>
      <c r="H5" s="9">
        <v>7.4999999999999997E-2</v>
      </c>
      <c r="I5" s="9">
        <v>7.4999999999999997E-2</v>
      </c>
      <c r="J5" s="9">
        <v>7.4999999999999997E-2</v>
      </c>
      <c r="K5" s="9">
        <v>7.4999999999999997E-2</v>
      </c>
      <c r="M5" s="2" t="s">
        <v>25</v>
      </c>
      <c r="N5" s="2">
        <f>N4*B6</f>
        <v>10</v>
      </c>
      <c r="O5" s="2">
        <f t="shared" ref="O5:Q5" si="0">O4*C6</f>
        <v>11.000000000000002</v>
      </c>
      <c r="P5" s="2">
        <f t="shared" si="0"/>
        <v>11.880000000000003</v>
      </c>
      <c r="Q5" s="2">
        <f t="shared" si="0"/>
        <v>12.592800000000004</v>
      </c>
    </row>
    <row r="6" spans="1:17">
      <c r="A6" s="2" t="s">
        <v>8</v>
      </c>
      <c r="B6" s="2">
        <v>100</v>
      </c>
      <c r="C6" s="2">
        <f>B6*(1+C5)</f>
        <v>110.00000000000001</v>
      </c>
      <c r="D6" s="2">
        <f t="shared" ref="D6:E6" si="1">C6*(1+D5)</f>
        <v>118.80000000000003</v>
      </c>
      <c r="E6" s="2">
        <f t="shared" si="1"/>
        <v>125.92800000000004</v>
      </c>
      <c r="G6" s="2" t="s">
        <v>19</v>
      </c>
      <c r="H6" s="2">
        <f>H4*H5</f>
        <v>3</v>
      </c>
      <c r="I6" s="2">
        <f t="shared" ref="I6:K6" si="2">I4*I5</f>
        <v>3</v>
      </c>
      <c r="J6" s="2">
        <f t="shared" si="2"/>
        <v>3</v>
      </c>
      <c r="K6" s="2">
        <f t="shared" si="2"/>
        <v>3</v>
      </c>
    </row>
    <row r="7" spans="1:17" ht="30">
      <c r="A7" s="2" t="s">
        <v>9</v>
      </c>
      <c r="B7" s="3">
        <v>0.7</v>
      </c>
      <c r="C7" s="3">
        <v>0.7</v>
      </c>
      <c r="D7" s="3">
        <v>0.7</v>
      </c>
      <c r="E7" s="3">
        <v>0.7</v>
      </c>
      <c r="G7" s="2" t="s">
        <v>20</v>
      </c>
      <c r="H7" s="4">
        <f>B13-H6</f>
        <v>22</v>
      </c>
      <c r="I7" s="4">
        <f t="shared" ref="I7:K7" si="3">C13-I6</f>
        <v>24.500000000000014</v>
      </c>
      <c r="J7" s="4">
        <f t="shared" si="3"/>
        <v>26.700000000000014</v>
      </c>
      <c r="K7" s="4">
        <f t="shared" si="3"/>
        <v>28.482000000000017</v>
      </c>
      <c r="M7" s="1" t="s">
        <v>16</v>
      </c>
      <c r="N7" s="1">
        <v>2025</v>
      </c>
      <c r="O7" s="1">
        <v>2026</v>
      </c>
      <c r="P7" s="1">
        <v>2027</v>
      </c>
      <c r="Q7" s="1">
        <v>2028</v>
      </c>
    </row>
    <row r="8" spans="1:17" ht="45">
      <c r="A8" s="2" t="s">
        <v>10</v>
      </c>
      <c r="B8" s="4">
        <f>B6*B7</f>
        <v>70</v>
      </c>
      <c r="C8" s="4">
        <f t="shared" ref="C8:E8" si="4">C6*C7</f>
        <v>77</v>
      </c>
      <c r="D8" s="4">
        <f t="shared" si="4"/>
        <v>83.160000000000011</v>
      </c>
      <c r="E8" s="4">
        <f t="shared" si="4"/>
        <v>88.149600000000021</v>
      </c>
      <c r="G8" s="2" t="s">
        <v>21</v>
      </c>
      <c r="H8" s="3">
        <v>0.16</v>
      </c>
      <c r="I8" s="3">
        <v>0.16</v>
      </c>
      <c r="J8" s="3">
        <v>0.16</v>
      </c>
      <c r="K8" s="3">
        <v>0.16</v>
      </c>
      <c r="M8" s="2" t="s">
        <v>26</v>
      </c>
      <c r="N8" s="3">
        <v>0.2</v>
      </c>
      <c r="O8" s="3">
        <v>0.2</v>
      </c>
      <c r="P8" s="3">
        <v>0.2</v>
      </c>
      <c r="Q8" s="3">
        <v>0.2</v>
      </c>
    </row>
    <row r="9" spans="1:17" ht="45">
      <c r="A9" s="2" t="s">
        <v>11</v>
      </c>
      <c r="B9" s="4">
        <f>B6-B8</f>
        <v>30</v>
      </c>
      <c r="C9" s="4">
        <f t="shared" ref="C9:E9" si="5">C6-C8</f>
        <v>33.000000000000014</v>
      </c>
      <c r="D9" s="4">
        <f t="shared" si="5"/>
        <v>35.640000000000015</v>
      </c>
      <c r="E9" s="4">
        <f t="shared" si="5"/>
        <v>37.778400000000019</v>
      </c>
      <c r="G9" s="2" t="s">
        <v>22</v>
      </c>
      <c r="H9" s="2">
        <f>H7*H8</f>
        <v>3.52</v>
      </c>
      <c r="I9" s="2">
        <f t="shared" ref="I9:K9" si="6">I7*I8</f>
        <v>3.9200000000000021</v>
      </c>
      <c r="J9" s="2">
        <f t="shared" si="6"/>
        <v>4.272000000000002</v>
      </c>
      <c r="K9" s="2">
        <f t="shared" si="6"/>
        <v>4.5571200000000029</v>
      </c>
      <c r="M9" s="2" t="s">
        <v>27</v>
      </c>
      <c r="N9" s="2">
        <f>B6*N8</f>
        <v>20</v>
      </c>
      <c r="O9" s="2">
        <f t="shared" ref="O9:Q9" si="7">C6*O8</f>
        <v>22.000000000000004</v>
      </c>
      <c r="P9" s="2">
        <f t="shared" si="7"/>
        <v>23.760000000000005</v>
      </c>
      <c r="Q9" s="2">
        <f t="shared" si="7"/>
        <v>25.185600000000008</v>
      </c>
    </row>
    <row r="10" spans="1:17" ht="60">
      <c r="A10" s="2" t="s">
        <v>12</v>
      </c>
      <c r="B10" s="5">
        <f>B9/B6</f>
        <v>0.3</v>
      </c>
      <c r="C10" s="5">
        <f t="shared" ref="C10:E10" si="8">C9/C6</f>
        <v>0.3000000000000001</v>
      </c>
      <c r="D10" s="5">
        <f t="shared" si="8"/>
        <v>0.30000000000000004</v>
      </c>
      <c r="E10" s="5">
        <f t="shared" si="8"/>
        <v>0.30000000000000004</v>
      </c>
      <c r="G10" s="2" t="s">
        <v>23</v>
      </c>
      <c r="H10" s="4">
        <f>H7-H9</f>
        <v>18.48</v>
      </c>
      <c r="I10" s="4">
        <f t="shared" ref="I10:K10" si="9">I7-I9</f>
        <v>20.580000000000013</v>
      </c>
      <c r="J10" s="4">
        <f t="shared" si="9"/>
        <v>22.428000000000011</v>
      </c>
      <c r="K10" s="4">
        <f t="shared" si="9"/>
        <v>23.924880000000016</v>
      </c>
      <c r="M10" s="2" t="s">
        <v>28</v>
      </c>
      <c r="N10" s="2" t="s">
        <v>7</v>
      </c>
      <c r="O10" s="2">
        <f>O9-N9</f>
        <v>2.0000000000000036</v>
      </c>
      <c r="P10" s="2">
        <f t="shared" ref="P10:Q10" si="10">P9-O9</f>
        <v>1.7600000000000016</v>
      </c>
      <c r="Q10" s="2">
        <f t="shared" si="10"/>
        <v>1.4256000000000029</v>
      </c>
    </row>
    <row r="11" spans="1:17">
      <c r="A11" s="2" t="s">
        <v>15</v>
      </c>
      <c r="B11" s="6">
        <v>0.05</v>
      </c>
      <c r="C11" s="6">
        <v>0.05</v>
      </c>
      <c r="D11" s="6">
        <v>0.05</v>
      </c>
      <c r="E11" s="6">
        <v>0.05</v>
      </c>
    </row>
    <row r="12" spans="1:17">
      <c r="A12" s="2" t="s">
        <v>13</v>
      </c>
      <c r="B12" s="7">
        <f>B6*B11</f>
        <v>5</v>
      </c>
      <c r="C12" s="7">
        <f t="shared" ref="C12:E12" si="11">C6*C11</f>
        <v>5.5000000000000009</v>
      </c>
      <c r="D12" s="7">
        <f t="shared" si="11"/>
        <v>5.9400000000000013</v>
      </c>
      <c r="E12" s="7">
        <f t="shared" si="11"/>
        <v>6.296400000000002</v>
      </c>
      <c r="G12" s="1" t="s">
        <v>16</v>
      </c>
      <c r="H12" s="1">
        <v>2025</v>
      </c>
      <c r="I12" s="1">
        <v>2026</v>
      </c>
      <c r="J12" s="1">
        <v>2027</v>
      </c>
      <c r="K12" s="1">
        <v>2028</v>
      </c>
    </row>
    <row r="13" spans="1:17">
      <c r="A13" s="2" t="s">
        <v>14</v>
      </c>
      <c r="B13" s="8">
        <f>B9-B12</f>
        <v>25</v>
      </c>
      <c r="C13" s="8">
        <f t="shared" ref="C13:E13" si="12">C9-C12</f>
        <v>27.500000000000014</v>
      </c>
      <c r="D13" s="8">
        <f t="shared" si="12"/>
        <v>29.700000000000014</v>
      </c>
      <c r="E13" s="8">
        <f t="shared" si="12"/>
        <v>31.482000000000017</v>
      </c>
      <c r="G13" s="2" t="s">
        <v>29</v>
      </c>
      <c r="H13" s="2" t="s">
        <v>7</v>
      </c>
      <c r="I13" s="8">
        <f>(I10+C12)-O10</f>
        <v>24.080000000000009</v>
      </c>
      <c r="J13" s="8">
        <f t="shared" ref="J13:K13" si="13">(J10+D12)-P10</f>
        <v>26.608000000000011</v>
      </c>
      <c r="K13" s="8">
        <f t="shared" si="13"/>
        <v>28.795680000000015</v>
      </c>
    </row>
    <row r="14" spans="1:17" ht="30">
      <c r="G14" s="2" t="s">
        <v>30</v>
      </c>
      <c r="H14" s="2" t="s">
        <v>7</v>
      </c>
      <c r="I14" s="8">
        <f>I13-O5</f>
        <v>13.080000000000007</v>
      </c>
      <c r="J14" s="8">
        <f t="shared" ref="J14:K14" si="14">J13-P5</f>
        <v>14.728000000000009</v>
      </c>
      <c r="K14" s="8">
        <f t="shared" si="14"/>
        <v>16.202880000000011</v>
      </c>
    </row>
    <row r="16" spans="1:17" ht="30">
      <c r="A16" s="1" t="s">
        <v>16</v>
      </c>
      <c r="B16" s="1">
        <v>2026</v>
      </c>
      <c r="C16" s="1">
        <v>2027</v>
      </c>
      <c r="D16" s="1">
        <v>2028</v>
      </c>
      <c r="G16" s="1" t="s">
        <v>16</v>
      </c>
      <c r="H16" s="1">
        <v>2026</v>
      </c>
      <c r="I16" s="1">
        <v>2027</v>
      </c>
      <c r="J16" s="1">
        <v>2028</v>
      </c>
      <c r="L16" s="1" t="s">
        <v>38</v>
      </c>
      <c r="M16" s="1" t="s">
        <v>39</v>
      </c>
      <c r="O16" s="1" t="s">
        <v>16</v>
      </c>
      <c r="P16" s="1" t="s">
        <v>44</v>
      </c>
      <c r="Q16" s="1" t="s">
        <v>45</v>
      </c>
    </row>
    <row r="17" spans="1:17">
      <c r="A17" s="2" t="s">
        <v>14</v>
      </c>
      <c r="B17" s="8">
        <f>C13</f>
        <v>27.500000000000014</v>
      </c>
      <c r="C17" s="8">
        <f t="shared" ref="C17:D17" si="15">D13</f>
        <v>29.700000000000014</v>
      </c>
      <c r="D17" s="8">
        <f t="shared" si="15"/>
        <v>31.482000000000017</v>
      </c>
      <c r="G17" s="2" t="s">
        <v>37</v>
      </c>
      <c r="H17" s="2">
        <v>1</v>
      </c>
      <c r="I17" s="2">
        <v>2</v>
      </c>
      <c r="J17" s="2">
        <v>3</v>
      </c>
      <c r="L17" s="2" t="s">
        <v>40</v>
      </c>
      <c r="M17" s="3">
        <v>0.1</v>
      </c>
      <c r="N17" s="17"/>
      <c r="O17" s="16" t="s">
        <v>40</v>
      </c>
      <c r="P17" s="3">
        <v>0.1</v>
      </c>
      <c r="Q17" s="3">
        <v>0.12</v>
      </c>
    </row>
    <row r="18" spans="1:17" ht="45">
      <c r="A18" s="2" t="s">
        <v>31</v>
      </c>
      <c r="B18" s="3">
        <v>0.16</v>
      </c>
      <c r="C18" s="3">
        <v>0.16</v>
      </c>
      <c r="D18" s="3">
        <v>0.16</v>
      </c>
      <c r="G18" s="2" t="s">
        <v>36</v>
      </c>
      <c r="H18" s="7">
        <f>B23</f>
        <v>15.600000000000005</v>
      </c>
      <c r="I18" s="7">
        <f>C23</f>
        <v>17.248000000000008</v>
      </c>
      <c r="J18" s="7">
        <f>D23</f>
        <v>18.722880000000011</v>
      </c>
      <c r="L18" s="2" t="s">
        <v>41</v>
      </c>
      <c r="M18" s="3">
        <v>0.02</v>
      </c>
      <c r="O18" s="2" t="s">
        <v>46</v>
      </c>
      <c r="P18" s="2">
        <v>191.85</v>
      </c>
      <c r="Q18" s="2">
        <v>146.94</v>
      </c>
    </row>
    <row r="19" spans="1:17" ht="45">
      <c r="A19" s="2" t="s">
        <v>32</v>
      </c>
      <c r="B19" s="7">
        <f>C13*(1-I8)</f>
        <v>23.100000000000012</v>
      </c>
      <c r="C19" s="7">
        <f t="shared" ref="C19:D19" si="16">D13*(1-J8)</f>
        <v>24.948000000000011</v>
      </c>
      <c r="D19" s="7">
        <f t="shared" si="16"/>
        <v>26.444880000000012</v>
      </c>
      <c r="G19" s="2" t="s">
        <v>56</v>
      </c>
      <c r="H19" s="7">
        <f>1/(1+$M$17)^H17</f>
        <v>0.90909090909090906</v>
      </c>
      <c r="I19" s="7">
        <f t="shared" ref="I19:J19" si="17">1/(1+$M$17)^I17</f>
        <v>0.82644628099173545</v>
      </c>
      <c r="J19" s="7">
        <f t="shared" si="17"/>
        <v>0.75131480090157754</v>
      </c>
      <c r="L19" s="7" t="s">
        <v>43</v>
      </c>
      <c r="M19" s="7">
        <v>10</v>
      </c>
      <c r="O19" s="2" t="s">
        <v>47</v>
      </c>
      <c r="P19" s="2">
        <v>200</v>
      </c>
      <c r="Q19" s="2">
        <v>200</v>
      </c>
    </row>
    <row r="20" spans="1:17" ht="45">
      <c r="A20" s="2" t="s">
        <v>33</v>
      </c>
      <c r="B20" s="7">
        <f>C12</f>
        <v>5.5000000000000009</v>
      </c>
      <c r="C20" s="7">
        <f t="shared" ref="C20:D20" si="18">D12</f>
        <v>5.9400000000000013</v>
      </c>
      <c r="D20" s="7">
        <f t="shared" si="18"/>
        <v>6.296400000000002</v>
      </c>
      <c r="G20" s="2" t="s">
        <v>58</v>
      </c>
      <c r="H20" s="7">
        <f>B23*H19</f>
        <v>14.181818181818185</v>
      </c>
      <c r="I20" s="7">
        <f t="shared" ref="I20:J20" si="19">C23*I19</f>
        <v>14.254545454545459</v>
      </c>
      <c r="J20" s="7">
        <f t="shared" si="19"/>
        <v>14.066776859504136</v>
      </c>
      <c r="L20" s="7" t="s">
        <v>40</v>
      </c>
      <c r="M20" s="20">
        <v>0.12</v>
      </c>
      <c r="O20" s="2" t="s">
        <v>48</v>
      </c>
      <c r="P20" s="14">
        <f>P18-P19</f>
        <v>-8.1500000000000057</v>
      </c>
      <c r="Q20" s="15">
        <f>Q18-Q19</f>
        <v>-53.06</v>
      </c>
    </row>
    <row r="21" spans="1:17">
      <c r="A21" s="2" t="s">
        <v>34</v>
      </c>
      <c r="B21" s="7">
        <f>O5</f>
        <v>11.000000000000002</v>
      </c>
      <c r="C21" s="7">
        <f t="shared" ref="C21:D21" si="20">P5</f>
        <v>11.880000000000003</v>
      </c>
      <c r="D21" s="7">
        <f t="shared" si="20"/>
        <v>12.592800000000004</v>
      </c>
      <c r="G21" s="2" t="s">
        <v>42</v>
      </c>
      <c r="H21" s="7"/>
      <c r="I21" s="7"/>
      <c r="J21" s="10">
        <f>D23*(1+$M$18)/($M$17-$M$18)</f>
        <v>238.71672000000012</v>
      </c>
    </row>
    <row r="22" spans="1:17" ht="30">
      <c r="A22" s="2" t="s">
        <v>35</v>
      </c>
      <c r="B22" s="7">
        <f>O10</f>
        <v>2.0000000000000036</v>
      </c>
      <c r="C22" s="7">
        <f t="shared" ref="C22:D22" si="21">P10</f>
        <v>1.7600000000000016</v>
      </c>
      <c r="D22" s="7">
        <f t="shared" si="21"/>
        <v>1.4256000000000029</v>
      </c>
      <c r="G22" s="2" t="s">
        <v>64</v>
      </c>
      <c r="H22" s="7"/>
      <c r="I22" s="7"/>
      <c r="J22" s="11">
        <f>J21*J19</f>
        <v>179.35140495867773</v>
      </c>
      <c r="L22" s="7" t="s">
        <v>62</v>
      </c>
      <c r="M22" s="13">
        <f>(D23*(1+M18))/(M20-M18)</f>
        <v>190.97337600000012</v>
      </c>
    </row>
    <row r="23" spans="1:17">
      <c r="A23" s="2" t="s">
        <v>36</v>
      </c>
      <c r="B23" s="7">
        <f>B19+C12-O5-O10</f>
        <v>15.600000000000005</v>
      </c>
      <c r="C23" s="7">
        <f t="shared" ref="C23:D23" si="22">C19+D12-P5-P10</f>
        <v>17.248000000000008</v>
      </c>
      <c r="D23" s="7">
        <f t="shared" si="22"/>
        <v>18.722880000000011</v>
      </c>
      <c r="G23" s="2" t="s">
        <v>61</v>
      </c>
      <c r="H23" s="7"/>
      <c r="I23" s="7"/>
      <c r="J23" s="12">
        <f>J22+(H20+I20+J20)</f>
        <v>221.85454545454553</v>
      </c>
      <c r="L23" s="7" t="s">
        <v>63</v>
      </c>
      <c r="M23" s="7">
        <f>M22*J25</f>
        <v>135.93107689504379</v>
      </c>
    </row>
    <row r="24" spans="1:17">
      <c r="G24" s="2" t="s">
        <v>55</v>
      </c>
      <c r="H24" s="7"/>
      <c r="I24" s="7"/>
      <c r="J24" s="13">
        <f>J23-K4+M19</f>
        <v>191.85454545454553</v>
      </c>
      <c r="L24" s="7" t="s">
        <v>60</v>
      </c>
      <c r="M24" s="13">
        <f>SUM(H26:J26)+M23</f>
        <v>176.93622448979599</v>
      </c>
    </row>
    <row r="25" spans="1:17">
      <c r="G25" s="2" t="s">
        <v>57</v>
      </c>
      <c r="H25" s="7">
        <f>1/(1+$M$20)^H17</f>
        <v>0.89285714285714279</v>
      </c>
      <c r="I25" s="7">
        <f t="shared" ref="I25:J25" si="23">1/(1+$M$20)^I17</f>
        <v>0.79719387755102034</v>
      </c>
      <c r="J25" s="7">
        <f t="shared" si="23"/>
        <v>0.71178024781341087</v>
      </c>
    </row>
    <row r="26" spans="1:17" ht="30">
      <c r="G26" s="23" t="s">
        <v>59</v>
      </c>
      <c r="H26" s="7">
        <f>H18*H25</f>
        <v>13.928571428571432</v>
      </c>
      <c r="I26" s="7">
        <f t="shared" ref="I26:J26" si="24">I18*I25</f>
        <v>13.750000000000005</v>
      </c>
      <c r="J26" s="7">
        <f t="shared" si="24"/>
        <v>13.326576166180761</v>
      </c>
    </row>
    <row r="27" spans="1:17">
      <c r="H27" s="21">
        <f>J24</f>
        <v>191.85454545454553</v>
      </c>
      <c r="I27" s="22">
        <v>0.01</v>
      </c>
      <c r="J27" s="22">
        <v>0.02</v>
      </c>
      <c r="K27" s="18">
        <v>0.03</v>
      </c>
    </row>
    <row r="28" spans="1:17">
      <c r="H28" s="18">
        <v>0.09</v>
      </c>
      <c r="I28" s="7">
        <f t="dataTable" ref="I28:K31" dt2D="1" dtr="1" r1="M18" r2="M17"/>
        <v>195.81264203349895</v>
      </c>
      <c r="J28" s="7">
        <v>223.95313044837508</v>
      </c>
      <c r="K28" s="7">
        <v>261.47378166820988</v>
      </c>
    </row>
    <row r="29" spans="1:17">
      <c r="H29" s="18">
        <v>0.1</v>
      </c>
      <c r="I29" s="7">
        <v>170.36363636363643</v>
      </c>
      <c r="J29" s="7">
        <v>191.85454545454553</v>
      </c>
      <c r="K29" s="7">
        <v>219.48571428571432</v>
      </c>
    </row>
    <row r="30" spans="1:17">
      <c r="H30" s="18">
        <v>0.11</v>
      </c>
      <c r="I30" s="7">
        <v>150.01201201201206</v>
      </c>
      <c r="J30" s="7">
        <v>166.8963558152748</v>
      </c>
      <c r="K30" s="7">
        <v>188.00178556935319</v>
      </c>
    </row>
    <row r="31" spans="1:17">
      <c r="H31" s="18">
        <v>0.12</v>
      </c>
      <c r="I31" s="7">
        <v>133.36734693877557</v>
      </c>
      <c r="J31" s="7">
        <v>146.93622448979599</v>
      </c>
      <c r="K31" s="7">
        <v>163.52040816326536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5839-9D90-4623-A2BD-2F4963494451}">
  <dimension ref="A1:L16"/>
  <sheetViews>
    <sheetView topLeftCell="D4" workbookViewId="0">
      <selection activeCell="I8" sqref="I8"/>
    </sheetView>
  </sheetViews>
  <sheetFormatPr defaultRowHeight="15"/>
  <cols>
    <col min="1" max="1" width="13.5703125" bestFit="1" customWidth="1"/>
    <col min="4" max="4" width="17.140625" customWidth="1"/>
    <col min="5" max="5" width="14" customWidth="1"/>
    <col min="6" max="6" width="13.42578125" customWidth="1"/>
    <col min="8" max="8" width="56.140625" customWidth="1"/>
    <col min="9" max="9" width="12.7109375" customWidth="1"/>
    <col min="10" max="10" width="20.140625" customWidth="1"/>
    <col min="11" max="11" width="49.140625" customWidth="1"/>
    <col min="12" max="12" width="25.140625" customWidth="1"/>
  </cols>
  <sheetData>
    <row r="1" spans="1:12" ht="30">
      <c r="A1" s="19" t="s">
        <v>49</v>
      </c>
      <c r="B1" s="19" t="s">
        <v>40</v>
      </c>
      <c r="C1" s="19" t="s">
        <v>41</v>
      </c>
      <c r="D1" s="19" t="s">
        <v>50</v>
      </c>
      <c r="E1" s="19" t="s">
        <v>51</v>
      </c>
      <c r="F1" s="19" t="s">
        <v>52</v>
      </c>
    </row>
    <row r="2" spans="1:12">
      <c r="A2" t="s">
        <v>53</v>
      </c>
      <c r="B2" s="17">
        <v>0.1</v>
      </c>
      <c r="C2" s="17">
        <v>0.02</v>
      </c>
      <c r="D2" s="13">
        <f>DCF_MODEL!J23</f>
        <v>221.85454545454553</v>
      </c>
      <c r="E2">
        <f>DCF_MODEL!J24</f>
        <v>191.85454545454553</v>
      </c>
      <c r="F2">
        <v>200</v>
      </c>
      <c r="H2" t="s">
        <v>66</v>
      </c>
      <c r="I2" s="24">
        <f>E3-Valuation_Summary[[#This Row],[Equity Value]]</f>
        <v>-44.91832096474954</v>
      </c>
    </row>
    <row r="3" spans="1:12">
      <c r="A3" t="s">
        <v>54</v>
      </c>
      <c r="B3" s="17">
        <v>0.12</v>
      </c>
      <c r="C3" s="17">
        <v>0.02</v>
      </c>
      <c r="D3">
        <f>SUM(DCF_MODEL!H26:J26)+DCF_MODEL!M23</f>
        <v>176.93622448979599</v>
      </c>
      <c r="E3">
        <f>DCF_MODEL!J31</f>
        <v>146.93622448979599</v>
      </c>
      <c r="F3">
        <v>200</v>
      </c>
      <c r="H3" t="s">
        <v>65</v>
      </c>
      <c r="I3" s="25">
        <f>((Valuation_Summary[[#This Row],[Equity Value]]-E2)/E2)</f>
        <v>-0.23412695726508945</v>
      </c>
    </row>
    <row r="4" spans="1:12">
      <c r="A4" t="s">
        <v>67</v>
      </c>
      <c r="B4" s="17">
        <v>0.1</v>
      </c>
      <c r="C4" s="17">
        <v>0.03</v>
      </c>
      <c r="D4">
        <f>Valuation_Summary[[#This Row],[Equity Value]]+DCF_MODEL!K4-DCF_MODEL!M19</f>
        <v>249.48571428571432</v>
      </c>
      <c r="E4">
        <f>DCF_MODEL!K29</f>
        <v>219.48571428571432</v>
      </c>
      <c r="F4">
        <v>200</v>
      </c>
    </row>
    <row r="5" spans="1:12" ht="30">
      <c r="H5" s="26" t="s">
        <v>68</v>
      </c>
    </row>
    <row r="6" spans="1:12" ht="30">
      <c r="J6" s="1" t="s">
        <v>16</v>
      </c>
      <c r="K6" s="1" t="s">
        <v>69</v>
      </c>
      <c r="L6" s="1" t="s">
        <v>70</v>
      </c>
    </row>
    <row r="7" spans="1:12" ht="30">
      <c r="J7" s="2" t="s">
        <v>32</v>
      </c>
      <c r="K7" s="27" t="s">
        <v>96</v>
      </c>
      <c r="L7" s="2" t="s">
        <v>71</v>
      </c>
    </row>
    <row r="8" spans="1:12" ht="38.25" customHeight="1">
      <c r="J8" s="2" t="s">
        <v>36</v>
      </c>
      <c r="K8" s="27" t="s">
        <v>87</v>
      </c>
      <c r="L8" s="2" t="s">
        <v>72</v>
      </c>
    </row>
    <row r="9" spans="1:12" ht="30">
      <c r="J9" s="2" t="s">
        <v>73</v>
      </c>
      <c r="K9" s="27" t="s">
        <v>88</v>
      </c>
      <c r="L9" s="2" t="s">
        <v>74</v>
      </c>
    </row>
    <row r="10" spans="1:12" ht="30">
      <c r="J10" s="2" t="s">
        <v>75</v>
      </c>
      <c r="K10" s="27" t="s">
        <v>89</v>
      </c>
      <c r="L10" s="2" t="s">
        <v>76</v>
      </c>
    </row>
    <row r="11" spans="1:12" ht="30">
      <c r="J11" s="2" t="s">
        <v>50</v>
      </c>
      <c r="K11" s="27" t="s">
        <v>90</v>
      </c>
      <c r="L11" s="2" t="s">
        <v>77</v>
      </c>
    </row>
    <row r="12" spans="1:12" ht="30">
      <c r="J12" s="2" t="s">
        <v>51</v>
      </c>
      <c r="K12" s="27" t="s">
        <v>91</v>
      </c>
      <c r="L12" s="2" t="s">
        <v>78</v>
      </c>
    </row>
    <row r="13" spans="1:12" ht="30">
      <c r="J13" s="2" t="s">
        <v>79</v>
      </c>
      <c r="K13" s="27" t="s">
        <v>92</v>
      </c>
      <c r="L13" s="2" t="s">
        <v>80</v>
      </c>
    </row>
    <row r="14" spans="1:12" ht="30">
      <c r="J14" s="2" t="s">
        <v>81</v>
      </c>
      <c r="K14" s="27" t="s">
        <v>93</v>
      </c>
      <c r="L14" s="2" t="s">
        <v>82</v>
      </c>
    </row>
    <row r="15" spans="1:12" ht="45">
      <c r="J15" s="2" t="s">
        <v>83</v>
      </c>
      <c r="K15" s="27" t="s">
        <v>94</v>
      </c>
      <c r="L15" s="2" t="s">
        <v>84</v>
      </c>
    </row>
    <row r="16" spans="1:12" ht="40.5" customHeight="1">
      <c r="J16" s="2" t="s">
        <v>85</v>
      </c>
      <c r="K16" s="27" t="s">
        <v>95</v>
      </c>
      <c r="L16" s="2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DCF_MODEL</vt:lpstr>
      <vt:lpstr>Valuation_Summary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 Popovici</dc:creator>
  <cp:lastModifiedBy>NICU-ALEXANDRU POPOVICI</cp:lastModifiedBy>
  <dcterms:created xsi:type="dcterms:W3CDTF">2015-06-05T18:17:20Z</dcterms:created>
  <dcterms:modified xsi:type="dcterms:W3CDTF">2026-10-27T08:34:30Z</dcterms:modified>
</cp:coreProperties>
</file>